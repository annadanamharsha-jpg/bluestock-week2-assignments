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113D96A2C97F39/Documents/"/>
    </mc:Choice>
  </mc:AlternateContent>
  <xr:revisionPtr revIDLastSave="42" documentId="8_{80111B8E-F537-4A0E-951D-7FB0AEB973F2}" xr6:coauthVersionLast="47" xr6:coauthVersionMax="47" xr10:uidLastSave="{BAEBA820-4EC3-4AA7-A536-8ABE0BF67072}"/>
  <bookViews>
    <workbookView xWindow="-108" yWindow="-108" windowWidth="23256" windowHeight="12456" activeTab="1" xr2:uid="{FE46D150-2C66-4413-96E2-D0EB3AE05ECB}"/>
  </bookViews>
  <sheets>
    <sheet name="Financial_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</calcChain>
</file>

<file path=xl/sharedStrings.xml><?xml version="1.0" encoding="utf-8"?>
<sst xmlns="http://schemas.openxmlformats.org/spreadsheetml/2006/main" count="55" uniqueCount="47">
  <si>
    <t>FY 2024-25</t>
  </si>
  <si>
    <t>FY 2025-26</t>
  </si>
  <si>
    <t>Metric</t>
  </si>
  <si>
    <t>Revenue from Operations</t>
  </si>
  <si>
    <t>Total Income</t>
  </si>
  <si>
    <t>Total Expenses</t>
  </si>
  <si>
    <t>Profit Before Tax</t>
  </si>
  <si>
    <t>Profit for the Year</t>
  </si>
  <si>
    <t>Profit attributable to shareholders</t>
  </si>
  <si>
    <t>EPS</t>
  </si>
  <si>
    <t>Total Assets</t>
  </si>
  <si>
    <t>Total Equity</t>
  </si>
  <si>
    <t>Total Current Assets</t>
  </si>
  <si>
    <t>Total Current Liabilities</t>
  </si>
  <si>
    <t>Operating Cash Flow</t>
  </si>
  <si>
    <t>Investing Cash Flow</t>
  </si>
  <si>
    <t>Financing Cash Flow</t>
  </si>
  <si>
    <t>Closing Cash &amp; Cash Equivalents</t>
  </si>
  <si>
    <t>Ratio</t>
  </si>
  <si>
    <t>Formula</t>
  </si>
  <si>
    <t>Revenue Growth %</t>
  </si>
  <si>
    <t>(Current Revenue - Previous Revenue) / Previous Revenue × 100</t>
  </si>
  <si>
    <t>Net Profit Growth %</t>
  </si>
  <si>
    <t>(Current Profit - Previous Profit) / Previous Profit × 100</t>
  </si>
  <si>
    <t>Net Profit Margin %</t>
  </si>
  <si>
    <t>Profit / Revenue × 100</t>
  </si>
  <si>
    <t>Current Ratio</t>
  </si>
  <si>
    <t>Current Assets / Current Liabilities</t>
  </si>
  <si>
    <t>Result</t>
  </si>
  <si>
    <t>Interpretation</t>
  </si>
  <si>
    <t>Revenue Growth</t>
  </si>
  <si>
    <t>TCS's revenue increased by 4.58% compared with FY2024-25.</t>
  </si>
  <si>
    <t>Net Profit Growth</t>
  </si>
  <si>
    <t>Net profit increased slightly by 1.35%.</t>
  </si>
  <si>
    <t>Net Profit Margin</t>
  </si>
  <si>
    <t>TCS generated approximately ₹18.52 of profit for every ₹100 of revenue.</t>
  </si>
  <si>
    <t>TCS had approximately ₹2.23 of current assets for every ₹1 of current liabilities.</t>
  </si>
  <si>
    <t>Cash Flow Category</t>
  </si>
  <si>
    <t>FY2025-26</t>
  </si>
  <si>
    <t>₹52,094 Cr</t>
  </si>
  <si>
    <t>Strong positive cash generation from operating activities.</t>
  </si>
  <si>
    <t>-₹12,845 Cr</t>
  </si>
  <si>
    <t>Cash was used for investments, assets and acquisition-related activities.</t>
  </si>
  <si>
    <t>-₹42,133 Cr</t>
  </si>
  <si>
    <t>Cash outflow was mainly influenced by dividend payments and other financing activities.</t>
  </si>
  <si>
    <t>₹6,417 Cr</t>
  </si>
  <si>
    <t>Cash balance decreased from ₹8,342 Cr in FY2024-25.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</si>
</sst>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20DF-6AF7-4F16-88C6-0013F72A9EBA}">
  <dimension ref="A1:D22"/>
  <sheetViews>
    <sheetView topLeftCell="A6" zoomScale="91" workbookViewId="0">
      <selection activeCell="D26" sqref="D26"/>
    </sheetView>
  </sheetViews>
  <sheetFormatPr defaultRowHeight="14.4"/>
  <cols>
    <col min="1" max="1" width="26.33203125" customWidth="1"/>
    <col min="2" max="2" width="11.44140625" customWidth="1"/>
    <col min="3" max="3" width="11.5546875" customWidth="1"/>
  </cols>
  <sheetData>
    <row r="1" spans="1:3">
      <c r="A1" s="1" t="s">
        <v>2</v>
      </c>
      <c r="B1" s="3" t="s">
        <v>0</v>
      </c>
      <c r="C1" s="3" t="s">
        <v>1</v>
      </c>
    </row>
    <row r="2" spans="1:3">
      <c r="A2" s="4" t="s">
        <v>3</v>
      </c>
      <c r="B2" s="5">
        <v>255324</v>
      </c>
      <c r="C2" s="5">
        <v>267021</v>
      </c>
    </row>
    <row r="3" spans="1:3">
      <c r="A3" s="4" t="s">
        <v>4</v>
      </c>
      <c r="B3" s="5">
        <v>259286</v>
      </c>
      <c r="C3" s="5">
        <v>271423</v>
      </c>
    </row>
    <row r="4" spans="1:3">
      <c r="A4" s="4" t="s">
        <v>5</v>
      </c>
      <c r="B4" s="5">
        <v>193955</v>
      </c>
      <c r="C4" s="5">
        <v>201410</v>
      </c>
    </row>
    <row r="5" spans="1:3">
      <c r="A5" s="4" t="s">
        <v>6</v>
      </c>
      <c r="B5" s="5">
        <v>65331</v>
      </c>
      <c r="C5" s="5">
        <v>65487</v>
      </c>
    </row>
    <row r="6" spans="1:3">
      <c r="A6" s="4" t="s">
        <v>7</v>
      </c>
      <c r="B6" s="5">
        <v>48797</v>
      </c>
      <c r="C6" s="5">
        <v>49454</v>
      </c>
    </row>
    <row r="7" spans="1:3" ht="28.8">
      <c r="A7" s="4" t="s">
        <v>8</v>
      </c>
      <c r="B7" s="5">
        <v>48553</v>
      </c>
      <c r="C7" s="5">
        <v>49210</v>
      </c>
    </row>
    <row r="8" spans="1:3">
      <c r="A8" s="4" t="s">
        <v>9</v>
      </c>
      <c r="B8" s="2">
        <v>134.19</v>
      </c>
      <c r="C8" s="2">
        <v>136.01</v>
      </c>
    </row>
    <row r="9" spans="1:3">
      <c r="A9" s="4" t="s">
        <v>10</v>
      </c>
      <c r="B9" s="5">
        <v>159629</v>
      </c>
      <c r="C9" s="5">
        <v>182372</v>
      </c>
    </row>
    <row r="10" spans="1:3">
      <c r="A10" s="4" t="s">
        <v>11</v>
      </c>
      <c r="B10" s="5">
        <v>95771</v>
      </c>
      <c r="C10" s="5">
        <v>108478</v>
      </c>
    </row>
    <row r="11" spans="1:3">
      <c r="A11" s="4" t="s">
        <v>12</v>
      </c>
      <c r="B11" s="5">
        <v>123011</v>
      </c>
      <c r="C11" s="5">
        <v>135705</v>
      </c>
    </row>
    <row r="12" spans="1:3">
      <c r="A12" s="4" t="s">
        <v>13</v>
      </c>
      <c r="B12" s="5">
        <v>53001</v>
      </c>
      <c r="C12" s="5">
        <v>60914</v>
      </c>
    </row>
    <row r="13" spans="1:3">
      <c r="A13" s="4" t="s">
        <v>14</v>
      </c>
      <c r="B13" s="5">
        <v>48908</v>
      </c>
      <c r="C13" s="5">
        <v>52094</v>
      </c>
    </row>
    <row r="14" spans="1:3">
      <c r="A14" s="4" t="s">
        <v>15</v>
      </c>
      <c r="B14" s="5">
        <v>-2318</v>
      </c>
      <c r="C14" s="5">
        <v>-12845</v>
      </c>
    </row>
    <row r="15" spans="1:3">
      <c r="A15" s="4" t="s">
        <v>16</v>
      </c>
      <c r="B15" s="5">
        <v>-47438</v>
      </c>
      <c r="C15" s="5">
        <v>-42133</v>
      </c>
    </row>
    <row r="16" spans="1:3" ht="28.8">
      <c r="A16" s="4" t="s">
        <v>17</v>
      </c>
      <c r="B16" s="5">
        <v>8342</v>
      </c>
      <c r="C16" s="5">
        <v>6417</v>
      </c>
    </row>
    <row r="18" spans="1:4">
      <c r="A18" s="1" t="s">
        <v>18</v>
      </c>
      <c r="B18" s="1" t="s">
        <v>19</v>
      </c>
      <c r="D18" t="s">
        <v>28</v>
      </c>
    </row>
    <row r="19" spans="1:4" ht="92.4">
      <c r="A19" s="4" t="s">
        <v>20</v>
      </c>
      <c r="B19" s="6" t="s">
        <v>21</v>
      </c>
      <c r="D19">
        <f>(C2-B2)/B2*100</f>
        <v>4.5812379564788275</v>
      </c>
    </row>
    <row r="20" spans="1:4" ht="79.2">
      <c r="A20" s="4" t="s">
        <v>22</v>
      </c>
      <c r="B20" s="6" t="s">
        <v>23</v>
      </c>
      <c r="D20">
        <f>(C6-B6)/B6*100</f>
        <v>1.3463942455478821</v>
      </c>
    </row>
    <row r="21" spans="1:4" ht="39.6">
      <c r="A21" s="4" t="s">
        <v>24</v>
      </c>
      <c r="B21" s="6" t="s">
        <v>25</v>
      </c>
      <c r="D21">
        <f>C6/C2*100</f>
        <v>18.520640698671638</v>
      </c>
    </row>
    <row r="22" spans="1:4" ht="52.8">
      <c r="A22" s="4" t="s">
        <v>26</v>
      </c>
      <c r="B22" s="6" t="s">
        <v>27</v>
      </c>
      <c r="D22">
        <f>C11/C12</f>
        <v>2.2278129822372525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2002-6809-4FD8-B2C5-771F297B1781}">
  <dimension ref="A1:D11"/>
  <sheetViews>
    <sheetView tabSelected="1" topLeftCell="A4" zoomScale="58" workbookViewId="0">
      <selection activeCell="C7" sqref="C7"/>
    </sheetView>
  </sheetViews>
  <sheetFormatPr defaultRowHeight="14.4"/>
  <cols>
    <col min="1" max="1" width="17.88671875" customWidth="1"/>
    <col min="2" max="2" width="17.5546875" customWidth="1"/>
    <col min="3" max="3" width="42.44140625" customWidth="1"/>
  </cols>
  <sheetData>
    <row r="1" spans="1:4" ht="28.8">
      <c r="A1" s="1" t="s">
        <v>2</v>
      </c>
      <c r="B1" s="3" t="s">
        <v>28</v>
      </c>
      <c r="C1" s="1" t="s">
        <v>29</v>
      </c>
    </row>
    <row r="2" spans="1:4" ht="129.6">
      <c r="A2" s="4" t="s">
        <v>30</v>
      </c>
      <c r="B2" s="7">
        <v>4.58E-2</v>
      </c>
      <c r="C2" s="4" t="s">
        <v>31</v>
      </c>
    </row>
    <row r="3" spans="1:4" ht="57.6">
      <c r="A3" s="4" t="s">
        <v>32</v>
      </c>
      <c r="B3" s="7">
        <v>1.35E-2</v>
      </c>
      <c r="C3" s="4" t="s">
        <v>33</v>
      </c>
    </row>
    <row r="4" spans="1:4" ht="144">
      <c r="A4" s="4" t="s">
        <v>34</v>
      </c>
      <c r="B4" s="7">
        <v>0.1852</v>
      </c>
      <c r="C4" s="4" t="s">
        <v>35</v>
      </c>
    </row>
    <row r="5" spans="1:4" ht="129.6">
      <c r="A5" s="4" t="s">
        <v>26</v>
      </c>
      <c r="B5" s="2">
        <v>2.23</v>
      </c>
      <c r="C5" s="4" t="s">
        <v>36</v>
      </c>
    </row>
    <row r="7" spans="1:4">
      <c r="A7" s="1" t="s">
        <v>37</v>
      </c>
      <c r="B7" s="3" t="s">
        <v>38</v>
      </c>
      <c r="C7" s="8" t="s">
        <v>29</v>
      </c>
      <c r="D7" s="1"/>
    </row>
    <row r="8" spans="1:4" ht="28.8">
      <c r="A8" s="4" t="s">
        <v>14</v>
      </c>
      <c r="B8" s="2" t="s">
        <v>39</v>
      </c>
      <c r="C8" s="4" t="s">
        <v>40</v>
      </c>
    </row>
    <row r="9" spans="1:4" ht="28.8">
      <c r="A9" s="4" t="s">
        <v>15</v>
      </c>
      <c r="B9" s="2" t="s">
        <v>41</v>
      </c>
      <c r="C9" s="4" t="s">
        <v>42</v>
      </c>
    </row>
    <row r="10" spans="1:4" ht="28.8">
      <c r="A10" s="4" t="s">
        <v>16</v>
      </c>
      <c r="B10" s="2" t="s">
        <v>43</v>
      </c>
      <c r="C10" s="4" t="s">
        <v>44</v>
      </c>
    </row>
    <row r="11" spans="1:4" ht="28.8">
      <c r="A11" s="4" t="s">
        <v>17</v>
      </c>
      <c r="B11" s="2" t="s">
        <v>45</v>
      </c>
      <c r="C11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vardhan</dc:creator>
  <cp:lastModifiedBy>harsha vardhan</cp:lastModifiedBy>
  <dcterms:created xsi:type="dcterms:W3CDTF">2026-08-17T11:06:45Z</dcterms:created>
  <dcterms:modified xsi:type="dcterms:W3CDTF">2026-08-17T11:42:28Z</dcterms:modified>
</cp:coreProperties>
</file>